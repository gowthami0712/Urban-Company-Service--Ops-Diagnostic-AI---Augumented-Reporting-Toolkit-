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0CF3D59-C0DE-4B08-9316-F94F54A15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ty wise revenue performance " sheetId="4" r:id="rId1"/>
    <sheet name="City-Category Data" sheetId="1" r:id="rId2"/>
    <sheet name="Category Reference" sheetId="2" r:id="rId3"/>
    <sheet name="KPI Summary" sheetId="3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F2" i="3"/>
  <c r="B3" i="3"/>
  <c r="C3" i="3"/>
  <c r="D3" i="3"/>
  <c r="F3" i="3"/>
  <c r="B4" i="3"/>
  <c r="C4" i="3"/>
  <c r="D4" i="3"/>
  <c r="F4" i="3"/>
  <c r="B5" i="3"/>
  <c r="C5" i="3"/>
  <c r="D5" i="3"/>
  <c r="F5" i="3"/>
  <c r="B6" i="3"/>
  <c r="C6" i="3"/>
  <c r="D6" i="3"/>
  <c r="F6" i="3"/>
  <c r="B7" i="3"/>
  <c r="C7" i="3"/>
  <c r="D7" i="3"/>
  <c r="F7" i="3"/>
</calcChain>
</file>

<file path=xl/sharedStrings.xml><?xml version="1.0" encoding="utf-8"?>
<sst xmlns="http://schemas.openxmlformats.org/spreadsheetml/2006/main" count="86" uniqueCount="31">
  <si>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</si>
  <si>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</si>
  <si>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</si>
  <si>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</si>
  <si>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</si>
  <si>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</si>
  <si>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</si>
  <si>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</si>
  <si>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</si>
  <si>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</si>
  <si>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</si>
  <si>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</si>
  <si>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</si>
  <si>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</si>
  <si>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</si>
  <si>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</si>
  <si>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</si>
  <si>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total_revenue</t>
  </si>
  <si>
    <t>total_sla_breaches</t>
  </si>
  <si>
    <t>city_category_count</t>
  </si>
  <si>
    <t>Part A SQL Total</t>
  </si>
  <si>
    <t>Matches Part A SQL total?</t>
  </si>
  <si>
    <t>Row Labels</t>
  </si>
  <si>
    <t>Grand Total</t>
  </si>
  <si>
    <t>Sum of revenue_inr</t>
  </si>
  <si>
    <t xml:space="preserve">Total revenue </t>
  </si>
  <si>
    <t>Total SLA branches</t>
  </si>
  <si>
    <t xml:space="preserve">Total cities </t>
  </si>
  <si>
    <t xml:space="preserve">Total bookings </t>
  </si>
  <si>
    <t xml:space="preserve">KPI SUMMARY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</si>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</sst>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C7CE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[city category.xlsx]City wise revenue performance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- WISE REVENUE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8678344836525063"/>
          <c:y val="0.16063826358967229"/>
          <c:w val="0.71427602799650047"/>
          <c:h val="0.67874589122687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wise revenue performance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wise revenue performance '!$A$4:$A$10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wise revenue performance '!$B$4:$B$10</c:f>
              <c:numCache>
                <c:formatCode>General</c:formatCode>
                <c:ptCount val="6"/>
                <c:pt idx="0">
                  <c:v>179835</c:v>
                </c:pt>
                <c:pt idx="1">
                  <c:v>175572</c:v>
                </c:pt>
                <c:pt idx="2">
                  <c:v>140771</c:v>
                </c:pt>
                <c:pt idx="3">
                  <c:v>171638</c:v>
                </c:pt>
                <c:pt idx="4">
                  <c:v>151430</c:v>
                </c:pt>
                <c:pt idx="5">
                  <c:v>228727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9-4FFA-8388-AC90551227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008752"/>
        <c:axId val="541005936"/>
      </c:barChart>
      <c:catAx>
        <c:axId val="54100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 </a:t>
                </a:r>
              </a:p>
            </c:rich>
          </c:tx>
          <c:layout>
            <c:manualLayout>
              <c:xMode val="edge"/>
              <c:yMode val="edge"/>
              <c:x val="0.49732037199053825"/>
              <c:y val="0.91454066509402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5936"/>
        <c:crosses val="autoZero"/>
        <c:auto val="1"/>
        <c:lblAlgn val="ctr"/>
        <c:lblOffset val="100"/>
        <c:noMultiLvlLbl val="0"/>
      </c:catAx>
      <c:valAx>
        <c:axId val="54100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(INR)</a:t>
                </a:r>
              </a:p>
            </c:rich>
          </c:tx>
          <c:layout>
            <c:manualLayout>
              <c:xMode val="edge"/>
              <c:yMode val="edge"/>
              <c:x val="2.4594440091345794E-2"/>
              <c:y val="0.41349900454990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8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152401</xdr:rowOff>
    </xdr:from>
    <xdr:to>
      <xdr:col>14</xdr:col>
      <xdr:colOff>381000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CCAC1-D839-CD7E-AEA7-61A0DB7CC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514430555559" createdVersion="8" refreshedVersion="8" minRefreshableVersion="3" recordCount="27" xr:uid="{9DF1093E-B2EF-4667-B8A7-18CA5C26B900}">
  <cacheSource type="worksheet">
    <worksheetSource ref="A1:G28" sheet="City-Category 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/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AC Repair &amp; Service"/>
    <n v="40"/>
    <n v="61229"/>
    <n v="7"/>
    <n v="499"/>
    <n v="2499"/>
  </r>
  <r>
    <x v="0"/>
    <s v="Deep Home Cleaning"/>
    <n v="18"/>
    <n v="49592"/>
    <n v="2"/>
    <n v="999"/>
    <n v="4999"/>
  </r>
  <r>
    <x v="0"/>
    <s v="Electrical Repair"/>
    <n v="19"/>
    <n v="23082"/>
    <n v="3"/>
    <n v="199"/>
    <n v="1999"/>
  </r>
  <r>
    <x v="0"/>
    <s v="Salon for Men"/>
    <n v="14"/>
    <n v="13565"/>
    <n v="3"/>
    <n v="349"/>
    <n v="1499"/>
  </r>
  <r>
    <x v="0"/>
    <s v="Salon for Women"/>
    <n v="16"/>
    <n v="32367"/>
    <n v="2"/>
    <n v="699"/>
    <n v="3499"/>
  </r>
  <r>
    <x v="1"/>
    <s v="Deep Home Cleaning"/>
    <n v="37"/>
    <n v="109499"/>
    <n v="5"/>
    <n v="999"/>
    <n v="4999"/>
  </r>
  <r>
    <x v="1"/>
    <s v="Electrical Repair"/>
    <n v="13"/>
    <n v="13044"/>
    <n v="1"/>
    <n v="199"/>
    <n v="1999"/>
  </r>
  <r>
    <x v="1"/>
    <s v="Plumbing"/>
    <n v="63"/>
    <n v="53029"/>
    <n v="9"/>
    <n v="199"/>
    <n v="1499"/>
  </r>
  <r>
    <x v="2"/>
    <s v="AC Repair &amp; Service"/>
    <n v="14"/>
    <n v="22760"/>
    <n v="0"/>
    <n v="499"/>
    <n v="2499"/>
  </r>
  <r>
    <x v="2"/>
    <s v="Deep Home Cleaning"/>
    <n v="25"/>
    <n v="63041"/>
    <n v="0"/>
    <n v="999"/>
    <n v="4999"/>
  </r>
  <r>
    <x v="2"/>
    <s v="Electrical Repair"/>
    <n v="12"/>
    <n v="12585"/>
    <n v="1"/>
    <n v="199"/>
    <n v="1999"/>
  </r>
  <r>
    <x v="2"/>
    <s v="Plumbing"/>
    <n v="19"/>
    <n v="16065"/>
    <n v="3"/>
    <n v="199"/>
    <n v="1499"/>
  </r>
  <r>
    <x v="2"/>
    <s v="Salon for Women"/>
    <n v="13"/>
    <n v="26320"/>
    <n v="2"/>
    <n v="699"/>
    <n v="3499"/>
  </r>
  <r>
    <x v="3"/>
    <s v="Deep Home Cleaning"/>
    <n v="29"/>
    <n v="91425"/>
    <n v="4"/>
    <n v="999"/>
    <n v="4999"/>
  </r>
  <r>
    <x v="3"/>
    <s v="Electrical Repair"/>
    <n v="27"/>
    <n v="29032"/>
    <n v="3"/>
    <n v="199"/>
    <n v="1999"/>
  </r>
  <r>
    <x v="3"/>
    <s v="Plumbing"/>
    <n v="13"/>
    <n v="11743"/>
    <n v="1"/>
    <n v="199"/>
    <n v="1499"/>
  </r>
  <r>
    <x v="3"/>
    <s v="Salon for Men"/>
    <n v="23"/>
    <n v="22289"/>
    <n v="5"/>
    <n v="349"/>
    <n v="1499"/>
  </r>
  <r>
    <x v="3"/>
    <s v="Salon for Women"/>
    <n v="6"/>
    <n v="17149"/>
    <n v="1"/>
    <n v="699"/>
    <n v="3499"/>
  </r>
  <r>
    <x v="4"/>
    <s v="AC Repair &amp; Service"/>
    <n v="20"/>
    <n v="29050"/>
    <n v="4"/>
    <n v="499"/>
    <n v="2499"/>
  </r>
  <r>
    <x v="4"/>
    <s v="Deep Home Cleaning"/>
    <n v="28"/>
    <n v="73938"/>
    <n v="1"/>
    <n v="999"/>
    <n v="4999"/>
  </r>
  <r>
    <x v="4"/>
    <s v="Electrical Repair"/>
    <n v="11"/>
    <n v="11360"/>
    <n v="2"/>
    <n v="199"/>
    <n v="1999"/>
  </r>
  <r>
    <x v="4"/>
    <s v="Salon for Men"/>
    <n v="27"/>
    <n v="23901"/>
    <n v="5"/>
    <n v="349"/>
    <n v="1499"/>
  </r>
  <r>
    <x v="4"/>
    <s v="Salon for Women"/>
    <n v="6"/>
    <n v="13181"/>
    <n v="1"/>
    <n v="699"/>
    <n v="3499"/>
  </r>
  <r>
    <x v="5"/>
    <s v="Deep Home Cleaning"/>
    <n v="39"/>
    <n v="121469"/>
    <n v="9"/>
    <n v="999"/>
    <n v="4999"/>
  </r>
  <r>
    <x v="5"/>
    <s v="Electrical Repair"/>
    <n v="30"/>
    <n v="30778"/>
    <n v="3"/>
    <n v="199"/>
    <n v="1999"/>
  </r>
  <r>
    <x v="5"/>
    <s v="Salon for Men"/>
    <n v="14"/>
    <n v="13808"/>
    <n v="1"/>
    <n v="349"/>
    <n v="1499"/>
  </r>
  <r>
    <x v="5"/>
    <s v="Salon for Women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C7CA-718F-426B-BAA7-3EC7B795611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0" firstHeaderRow="1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inr" fld="3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6A888-FED3-46D5-8006-28BD24C91D1D}" name="Table1" displayName="Table1" ref="A1:F7" totalsRowShown="0" headerRowDxfId="13" dataDxfId="12">
  <autoFilter ref="A1:F7" xr:uid="{6F36A888-FED3-46D5-8006-28BD24C91D1D}"/>
  <tableColumns count="6">
    <tableColumn id="1" xr3:uid="{E7DC0280-2886-4B81-974D-D4B6B1D4B616}" name="city" dataDxfId="11"/>
    <tableColumn id="2" xr3:uid="{D16DD2B4-C8EF-4A55-B5F6-9BE63768F2EB}" name="total_revenue" dataDxfId="10"/>
    <tableColumn id="3" xr3:uid="{D446A726-77F3-456F-B1FE-7A35140939FE}" name="total_sla_breaches" dataDxfId="9"/>
    <tableColumn id="4" xr3:uid="{D7954275-E96A-44C1-99B0-CC5DC92CF275}" name="city_category_count" dataDxfId="8"/>
    <tableColumn id="5" xr3:uid="{1BA425A6-D0A4-4DF7-B40E-9E5ADDCE4E17}" name="Part A SQL Total" dataDxfId="7"/>
    <tableColumn id="6" xr3:uid="{2DEF7894-71D4-4D19-8C22-7680AE842A11}" name="Matches Part A SQL total?" dataDxfId="6">
      <calculatedColumnFormula>IF(B2=E2, "Yes", "No")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F867-C327-4DC0-B88A-483C0EF0DFF8}">
  <dimension ref="A3:O22"/>
  <sheetViews>
    <sheetView tabSelected="1" zoomScale="90" zoomScaleNormal="90" workbookViewId="0">
      <selection activeCell="Q11" sqref="Q11"/>
    </sheetView>
  </sheetViews>
  <sheetFormatPr defaultRowHeight="15" x14ac:dyDescent="0.25"/>
  <cols>
    <col min="1" max="1" width="17.140625" customWidth="1"/>
    <col min="2" max="2" width="19.28515625" customWidth="1"/>
    <col min="3" max="4" width="19.28515625" bestFit="1" customWidth="1"/>
  </cols>
  <sheetData>
    <row r="3" spans="1:2" x14ac:dyDescent="0.25">
      <c r="A3" s="1" t="s">
        <v>22</v>
      </c>
      <c r="B3" t="s">
        <v>24</v>
      </c>
    </row>
    <row r="4" spans="1:2" x14ac:dyDescent="0.25">
      <c r="A4" s="2" t="s">
        <v>5</v>
      </c>
      <c r="B4">
        <v>179835</v>
      </c>
    </row>
    <row r="5" spans="1:2" x14ac:dyDescent="0.25">
      <c r="A5" s="2" t="s">
        <v>11</v>
      </c>
      <c r="B5">
        <v>175572</v>
      </c>
    </row>
    <row r="6" spans="1:2" x14ac:dyDescent="0.25">
      <c r="A6" s="2" t="s">
        <v>13</v>
      </c>
      <c r="B6">
        <v>140771</v>
      </c>
    </row>
    <row r="7" spans="1:2" x14ac:dyDescent="0.25">
      <c r="A7" s="2" t="s">
        <v>14</v>
      </c>
      <c r="B7">
        <v>171638</v>
      </c>
    </row>
    <row r="8" spans="1:2" x14ac:dyDescent="0.25">
      <c r="A8" s="2" t="s">
        <v>15</v>
      </c>
      <c r="B8">
        <v>151430</v>
      </c>
    </row>
    <row r="9" spans="1:2" x14ac:dyDescent="0.25">
      <c r="A9" s="2" t="s">
        <v>16</v>
      </c>
      <c r="B9">
        <v>228727</v>
      </c>
    </row>
    <row r="10" spans="1:2" x14ac:dyDescent="0.25">
      <c r="A10" s="2" t="s">
        <v>23</v>
      </c>
      <c r="B10">
        <v>1047973</v>
      </c>
    </row>
    <row r="22" spans="15:15" x14ac:dyDescent="0.25">
      <c r="O22" t="s">
        <v>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D1" workbookViewId="0">
      <selection activeCell="J10" sqref="J10"/>
    </sheetView>
  </sheetViews>
  <sheetFormatPr defaultRowHeight="15" x14ac:dyDescent="0.25"/>
  <cols>
    <col min="1" max="1" width="16.85546875" customWidth="1"/>
    <col min="2" max="2" width="23.5703125" customWidth="1"/>
    <col min="3" max="3" width="15.42578125" customWidth="1"/>
    <col min="4" max="4" width="12" customWidth="1"/>
    <col min="5" max="5" width="17" customWidth="1"/>
    <col min="7" max="7" width="4.5703125" customWidth="1"/>
    <col min="8" max="8" width="13.28515625" customWidth="1"/>
    <col min="10" max="10" width="26.140625" customWidth="1"/>
    <col min="11" max="11" width="27.140625" customWidth="1"/>
  </cols>
  <sheetData>
    <row r="1" spans="1:13" x14ac:dyDescent="0.25">
      <c r="A1" t="s">
        <v>0</v>
      </c>
      <c r="B1" t="s">
        <v>1</v>
      </c>
      <c r="C1" s="11" t="s">
        <v>2</v>
      </c>
      <c r="D1" t="s">
        <v>3</v>
      </c>
      <c r="E1" t="s">
        <v>4</v>
      </c>
    </row>
    <row r="2" spans="1:13" x14ac:dyDescent="0.25">
      <c r="A2" t="s">
        <v>5</v>
      </c>
      <c r="B2" t="s">
        <v>6</v>
      </c>
      <c r="C2">
        <v>40</v>
      </c>
      <c r="D2">
        <v>61229</v>
      </c>
      <c r="E2">
        <v>7</v>
      </c>
    </row>
    <row r="3" spans="1:13" ht="18.75" x14ac:dyDescent="0.3">
      <c r="A3" t="s">
        <v>5</v>
      </c>
      <c r="B3" t="s">
        <v>7</v>
      </c>
      <c r="C3">
        <v>18</v>
      </c>
      <c r="D3">
        <v>49592</v>
      </c>
      <c r="E3">
        <v>2</v>
      </c>
      <c r="H3" s="10"/>
      <c r="I3" s="10"/>
      <c r="J3" s="10"/>
      <c r="K3" s="10"/>
      <c r="L3" s="10"/>
      <c r="M3" s="10"/>
    </row>
    <row r="4" spans="1:13" ht="18.75" x14ac:dyDescent="0.3">
      <c r="A4" t="s">
        <v>5</v>
      </c>
      <c r="B4" t="s">
        <v>8</v>
      </c>
      <c r="C4">
        <v>19</v>
      </c>
      <c r="D4">
        <v>23082</v>
      </c>
      <c r="E4">
        <v>3</v>
      </c>
      <c r="H4" s="3"/>
      <c r="I4" s="3"/>
      <c r="J4" s="3"/>
      <c r="K4" s="3"/>
      <c r="L4" s="3"/>
      <c r="M4" s="3"/>
    </row>
    <row r="5" spans="1:13" ht="18.75" x14ac:dyDescent="0.3">
      <c r="A5" t="s">
        <v>5</v>
      </c>
      <c r="B5" t="s">
        <v>9</v>
      </c>
      <c r="C5">
        <v>14</v>
      </c>
      <c r="D5">
        <v>13565</v>
      </c>
      <c r="E5">
        <v>3</v>
      </c>
      <c r="H5" s="3"/>
      <c r="I5" s="3"/>
      <c r="J5" s="3"/>
      <c r="K5" s="3"/>
      <c r="L5" s="3"/>
      <c r="M5" s="3"/>
    </row>
    <row r="6" spans="1:13" ht="18.75" x14ac:dyDescent="0.3">
      <c r="A6" t="s">
        <v>5</v>
      </c>
      <c r="B6" t="s">
        <v>10</v>
      </c>
      <c r="C6">
        <v>16</v>
      </c>
      <c r="D6">
        <v>32367</v>
      </c>
      <c r="E6">
        <v>2</v>
      </c>
      <c r="H6" s="3"/>
      <c r="I6" s="4"/>
      <c r="J6" s="3"/>
      <c r="K6" s="3"/>
      <c r="L6" s="3"/>
      <c r="M6" s="3"/>
    </row>
    <row r="7" spans="1:13" ht="18.75" x14ac:dyDescent="0.3">
      <c r="A7" t="s">
        <v>11</v>
      </c>
      <c r="B7" t="s">
        <v>7</v>
      </c>
      <c r="C7">
        <v>37</v>
      </c>
      <c r="D7">
        <v>109499</v>
      </c>
      <c r="E7">
        <v>5</v>
      </c>
      <c r="H7" s="3"/>
      <c r="I7" s="3"/>
      <c r="J7" s="3"/>
      <c r="K7" s="3"/>
      <c r="L7" s="3"/>
      <c r="M7" s="3"/>
    </row>
    <row r="8" spans="1:13" ht="18.75" x14ac:dyDescent="0.3">
      <c r="A8" t="s">
        <v>11</v>
      </c>
      <c r="B8" t="s">
        <v>8</v>
      </c>
      <c r="C8">
        <v>13</v>
      </c>
      <c r="D8">
        <v>13044</v>
      </c>
      <c r="E8">
        <v>1</v>
      </c>
      <c r="H8" s="3"/>
      <c r="I8" s="3"/>
      <c r="J8" s="3"/>
      <c r="K8" s="3"/>
      <c r="L8" s="3"/>
      <c r="M8" s="3"/>
    </row>
    <row r="9" spans="1:13" ht="18.75" x14ac:dyDescent="0.3">
      <c r="A9" t="s">
        <v>11</v>
      </c>
      <c r="B9" t="s">
        <v>12</v>
      </c>
      <c r="C9">
        <v>63</v>
      </c>
      <c r="D9">
        <v>53029</v>
      </c>
      <c r="E9">
        <v>9</v>
      </c>
      <c r="H9" s="3"/>
      <c r="I9" s="5"/>
      <c r="J9" s="3"/>
      <c r="K9" s="3"/>
      <c r="L9" s="3"/>
      <c r="M9" s="3"/>
    </row>
    <row r="10" spans="1:13" x14ac:dyDescent="0.25">
      <c r="A10" t="s">
        <v>13</v>
      </c>
      <c r="B10" t="s">
        <v>6</v>
      </c>
      <c r="C10">
        <v>14</v>
      </c>
      <c r="D10">
        <v>22760</v>
      </c>
      <c r="E10">
        <v>0</v>
      </c>
    </row>
    <row r="11" spans="1:13" x14ac:dyDescent="0.25">
      <c r="A11" t="s">
        <v>13</v>
      </c>
      <c r="B11" t="s">
        <v>7</v>
      </c>
      <c r="C11">
        <v>25</v>
      </c>
      <c r="D11">
        <v>63041</v>
      </c>
      <c r="E11">
        <v>0</v>
      </c>
    </row>
    <row r="12" spans="1:13" x14ac:dyDescent="0.25">
      <c r="A12" t="s">
        <v>13</v>
      </c>
      <c r="B12" t="s">
        <v>8</v>
      </c>
      <c r="C12">
        <v>12</v>
      </c>
      <c r="D12">
        <v>12585</v>
      </c>
      <c r="E12">
        <v>1</v>
      </c>
    </row>
    <row r="13" spans="1:13" x14ac:dyDescent="0.25">
      <c r="A13" t="s">
        <v>13</v>
      </c>
      <c r="B13" t="s">
        <v>12</v>
      </c>
      <c r="C13">
        <v>19</v>
      </c>
      <c r="D13">
        <v>16065</v>
      </c>
      <c r="E13">
        <v>3</v>
      </c>
    </row>
    <row r="14" spans="1:13" x14ac:dyDescent="0.25">
      <c r="A14" t="s">
        <v>13</v>
      </c>
      <c r="B14" t="s">
        <v>10</v>
      </c>
      <c r="C14">
        <v>13</v>
      </c>
      <c r="D14">
        <v>26320</v>
      </c>
      <c r="E14">
        <v>2</v>
      </c>
    </row>
    <row r="15" spans="1:13" x14ac:dyDescent="0.25">
      <c r="A15" t="s">
        <v>14</v>
      </c>
      <c r="B15" t="s">
        <v>7</v>
      </c>
      <c r="C15">
        <v>29</v>
      </c>
      <c r="D15">
        <v>91425</v>
      </c>
      <c r="E15">
        <v>4</v>
      </c>
    </row>
    <row r="16" spans="1:13" x14ac:dyDescent="0.25">
      <c r="A16" t="s">
        <v>14</v>
      </c>
      <c r="B16" t="s">
        <v>8</v>
      </c>
      <c r="C16">
        <v>27</v>
      </c>
      <c r="D16">
        <v>29032</v>
      </c>
      <c r="E16">
        <v>3</v>
      </c>
    </row>
    <row r="17" spans="1:5" x14ac:dyDescent="0.25">
      <c r="A17" t="s">
        <v>14</v>
      </c>
      <c r="B17" t="s">
        <v>12</v>
      </c>
      <c r="C17">
        <v>13</v>
      </c>
      <c r="D17">
        <v>11743</v>
      </c>
      <c r="E17">
        <v>1</v>
      </c>
    </row>
    <row r="18" spans="1:5" x14ac:dyDescent="0.25">
      <c r="A18" t="s">
        <v>14</v>
      </c>
      <c r="B18" t="s">
        <v>9</v>
      </c>
      <c r="C18">
        <v>23</v>
      </c>
      <c r="D18">
        <v>22289</v>
      </c>
      <c r="E18">
        <v>5</v>
      </c>
    </row>
    <row r="19" spans="1:5" x14ac:dyDescent="0.25">
      <c r="A19" t="s">
        <v>14</v>
      </c>
      <c r="B19" t="s">
        <v>10</v>
      </c>
      <c r="C19">
        <v>6</v>
      </c>
      <c r="D19">
        <v>17149</v>
      </c>
      <c r="E19">
        <v>1</v>
      </c>
    </row>
    <row r="20" spans="1:5" x14ac:dyDescent="0.25">
      <c r="A20" t="s">
        <v>15</v>
      </c>
      <c r="B20" t="s">
        <v>6</v>
      </c>
      <c r="C20">
        <v>20</v>
      </c>
      <c r="D20">
        <v>29050</v>
      </c>
      <c r="E20">
        <v>4</v>
      </c>
    </row>
    <row r="21" spans="1:5" x14ac:dyDescent="0.25">
      <c r="A21" t="s">
        <v>15</v>
      </c>
      <c r="B21" t="s">
        <v>7</v>
      </c>
      <c r="C21">
        <v>28</v>
      </c>
      <c r="D21">
        <v>73938</v>
      </c>
      <c r="E21">
        <v>1</v>
      </c>
    </row>
    <row r="22" spans="1:5" x14ac:dyDescent="0.25">
      <c r="A22" t="s">
        <v>15</v>
      </c>
      <c r="B22" t="s">
        <v>8</v>
      </c>
      <c r="C22">
        <v>11</v>
      </c>
      <c r="D22">
        <v>11360</v>
      </c>
      <c r="E22">
        <v>2</v>
      </c>
    </row>
    <row r="23" spans="1:5" x14ac:dyDescent="0.25">
      <c r="A23" t="s">
        <v>15</v>
      </c>
      <c r="B23" t="s">
        <v>9</v>
      </c>
      <c r="C23">
        <v>27</v>
      </c>
      <c r="D23">
        <v>23901</v>
      </c>
      <c r="E23">
        <v>5</v>
      </c>
    </row>
    <row r="24" spans="1:5" x14ac:dyDescent="0.25">
      <c r="A24" t="s">
        <v>15</v>
      </c>
      <c r="B24" t="s">
        <v>10</v>
      </c>
      <c r="C24">
        <v>6</v>
      </c>
      <c r="D24">
        <v>13181</v>
      </c>
      <c r="E24">
        <v>1</v>
      </c>
    </row>
    <row r="25" spans="1:5" x14ac:dyDescent="0.25">
      <c r="A25" t="s">
        <v>16</v>
      </c>
      <c r="B25" t="s">
        <v>7</v>
      </c>
      <c r="C25">
        <v>39</v>
      </c>
      <c r="D25">
        <v>121469</v>
      </c>
      <c r="E25">
        <v>9</v>
      </c>
    </row>
    <row r="26" spans="1:5" x14ac:dyDescent="0.25">
      <c r="A26" t="s">
        <v>16</v>
      </c>
      <c r="B26" t="s">
        <v>8</v>
      </c>
      <c r="C26">
        <v>30</v>
      </c>
      <c r="D26">
        <v>30778</v>
      </c>
      <c r="E26">
        <v>3</v>
      </c>
    </row>
    <row r="27" spans="1:5" x14ac:dyDescent="0.25">
      <c r="A27" t="s">
        <v>16</v>
      </c>
      <c r="B27" t="s">
        <v>9</v>
      </c>
      <c r="C27">
        <v>14</v>
      </c>
      <c r="D27">
        <v>13808</v>
      </c>
      <c r="E27">
        <v>1</v>
      </c>
    </row>
    <row r="28" spans="1:5" x14ac:dyDescent="0.25">
      <c r="A28" t="s">
        <v>16</v>
      </c>
      <c r="B28" t="s">
        <v>10</v>
      </c>
      <c r="C28">
        <v>24</v>
      </c>
      <c r="D28">
        <v>62672</v>
      </c>
      <c r="E28">
        <v>1</v>
      </c>
    </row>
  </sheetData>
  <conditionalFormatting sqref="J7">
    <cfRule type="top10" dxfId="4" priority="3" rank="10"/>
  </conditionalFormatting>
  <conditionalFormatting sqref="C1">
    <cfRule type="top10" dxfId="0" priority="2" rank="10"/>
    <cfRule type="cellIs" dxfId="1" priority="1" operator="greaterThan">
      <formula>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C7"/>
    </sheetView>
  </sheetViews>
  <sheetFormatPr defaultRowHeight="15" x14ac:dyDescent="0.25"/>
  <cols>
    <col min="1" max="1" width="18.42578125" customWidth="1"/>
    <col min="2" max="2" width="22.85546875" customWidth="1"/>
    <col min="3" max="3" width="18.42578125" customWidth="1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Normal="100" workbookViewId="0">
      <selection activeCell="H10" sqref="H10"/>
    </sheetView>
  </sheetViews>
  <sheetFormatPr defaultRowHeight="15" x14ac:dyDescent="0.25"/>
  <cols>
    <col min="1" max="1" width="20.5703125" customWidth="1"/>
    <col min="2" max="2" width="17.42578125" customWidth="1"/>
    <col min="3" max="3" width="19.7109375" customWidth="1"/>
    <col min="4" max="4" width="20.85546875" customWidth="1"/>
    <col min="5" max="5" width="20" customWidth="1"/>
    <col min="6" max="6" width="30" customWidth="1"/>
    <col min="7" max="7" width="9.140625" customWidth="1"/>
    <col min="8" max="8" width="42" customWidth="1"/>
    <col min="9" max="9" width="17.140625" customWidth="1"/>
  </cols>
  <sheetData>
    <row r="1" spans="1:9" ht="23.25" x14ac:dyDescent="0.35">
      <c r="A1" s="10" t="s">
        <v>0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H1" s="7" t="s">
        <v>29</v>
      </c>
      <c r="I1" s="7"/>
    </row>
    <row r="2" spans="1:9" ht="23.25" x14ac:dyDescent="0.35">
      <c r="A2" s="3" t="s">
        <v>5</v>
      </c>
      <c r="B2" s="3">
        <f>SUMIFS('City-Category Data'!$D$2:$D$28, 'City-Category Data'!$A$2:$A$28, "Bengaluru")</f>
        <v>179835</v>
      </c>
      <c r="C2" s="3">
        <f>SUMIFS('City-Category Data'!$E$2:$E$28, 'City-Category Data'!$A$2:$A$28, "Bengaluru")</f>
        <v>17</v>
      </c>
      <c r="D2" s="3">
        <f>COUNTIFS('City-Category Data'!$A$2:$A$28, "Bengaluru")</f>
        <v>5</v>
      </c>
      <c r="E2" s="3">
        <v>179835</v>
      </c>
      <c r="F2" s="3" t="str">
        <f t="shared" ref="F2:F7" si="0">IF(B2=E2, "Yes", "No")</f>
        <v>Yes</v>
      </c>
      <c r="H2" s="8" t="s">
        <v>25</v>
      </c>
      <c r="I2" s="9">
        <v>1048173</v>
      </c>
    </row>
    <row r="3" spans="1:9" ht="23.25" x14ac:dyDescent="0.35">
      <c r="A3" s="3" t="s">
        <v>11</v>
      </c>
      <c r="B3" s="3">
        <f>SUMIFS('City-Category Data'!$D$2:$D$28, 'City-Category Data'!$A$2:$A$28, "Chennai")</f>
        <v>175572</v>
      </c>
      <c r="C3" s="3">
        <f>SUMIFS('City-Category Data'!$E$2:$E$28, 'City-Category Data'!$A$2:$A$28, "Chennai")</f>
        <v>15</v>
      </c>
      <c r="D3" s="3">
        <f>COUNTIFS('City-Category Data'!$A$2:$A$28, "Chennai")</f>
        <v>3</v>
      </c>
      <c r="E3" s="3">
        <v>175572</v>
      </c>
      <c r="F3" s="3" t="str">
        <f t="shared" si="0"/>
        <v>Yes</v>
      </c>
      <c r="H3" s="8" t="s">
        <v>26</v>
      </c>
      <c r="I3" s="8">
        <v>79</v>
      </c>
    </row>
    <row r="4" spans="1:9" ht="23.25" x14ac:dyDescent="0.35">
      <c r="A4" s="3" t="s">
        <v>13</v>
      </c>
      <c r="B4" s="4">
        <f>SUMIFS('City-Category Data'!$D$2:$D$28, 'City-Category Data'!$A$2:$A$28, "Delhi NCR")</f>
        <v>140771</v>
      </c>
      <c r="C4" s="3">
        <f>SUMIFS('City-Category Data'!$E$2:$E$28, 'City-Category Data'!$A$2:$A$28, "Delhi NCR")</f>
        <v>6</v>
      </c>
      <c r="D4" s="3">
        <f>COUNTIFS('City-Category Data'!$A$2:$A$28, "Delhi NCR")</f>
        <v>5</v>
      </c>
      <c r="E4" s="3">
        <v>140771</v>
      </c>
      <c r="F4" s="3" t="str">
        <f t="shared" si="0"/>
        <v>Yes</v>
      </c>
      <c r="H4" s="8" t="s">
        <v>27</v>
      </c>
      <c r="I4" s="8">
        <v>6</v>
      </c>
    </row>
    <row r="5" spans="1:9" ht="23.25" x14ac:dyDescent="0.35">
      <c r="A5" s="3" t="s">
        <v>14</v>
      </c>
      <c r="B5" s="3">
        <f>SUMIFS('City-Category Data'!$D$2:$D$28, 'City-Category Data'!$A$2:$A$28, "Hyderabad")</f>
        <v>171638</v>
      </c>
      <c r="C5" s="3">
        <f>SUMIFS('City-Category Data'!$E$2:$E$28, 'City-Category Data'!$A$2:$A$28, "Hyderabad")</f>
        <v>14</v>
      </c>
      <c r="D5" s="3">
        <f>COUNTIFS('City-Category Data'!$A$2:$A$28, "Hyderabad")</f>
        <v>5</v>
      </c>
      <c r="E5" s="3">
        <v>171638</v>
      </c>
      <c r="F5" s="3" t="str">
        <f t="shared" si="0"/>
        <v>Yes</v>
      </c>
      <c r="H5" s="8" t="s">
        <v>28</v>
      </c>
      <c r="I5" s="8">
        <v>600</v>
      </c>
    </row>
    <row r="6" spans="1:9" ht="23.25" x14ac:dyDescent="0.35">
      <c r="A6" s="3" t="s">
        <v>15</v>
      </c>
      <c r="B6" s="3">
        <f>SUMIFS('City-Category Data'!$D$2:$D$28, 'City-Category Data'!$A$2:$A$28, "Mumbai")</f>
        <v>151430</v>
      </c>
      <c r="C6" s="3">
        <f>SUMIFS('City-Category Data'!$E$2:$E$28, 'City-Category Data'!$A$2:$A$28, "Mumbai")</f>
        <v>13</v>
      </c>
      <c r="D6" s="3">
        <f>COUNTIFS('City-Category Data'!$A$2:$A$28, "Mumbai")</f>
        <v>5</v>
      </c>
      <c r="E6" s="3">
        <v>151430</v>
      </c>
      <c r="F6" s="3" t="str">
        <f t="shared" si="0"/>
        <v>Yes</v>
      </c>
      <c r="H6" s="8"/>
      <c r="I6" s="8"/>
    </row>
    <row r="7" spans="1:9" ht="18.75" x14ac:dyDescent="0.3">
      <c r="A7" s="3" t="s">
        <v>16</v>
      </c>
      <c r="B7" s="5">
        <f>SUMIFS('City-Category Data'!$D$2:$D$28, 'City-Category Data'!$A$2:$A$28, "Pune")</f>
        <v>228727</v>
      </c>
      <c r="C7" s="3">
        <f>SUMIFS('City-Category Data'!$E$2:$E$28, 'City-Category Data'!$A$2:$A$28, "Pune")</f>
        <v>14</v>
      </c>
      <c r="D7" s="3">
        <f>COUNTIFS('City-Category Data'!$A$2:$A$28, "Pune")</f>
        <v>4</v>
      </c>
      <c r="E7" s="3">
        <v>228727</v>
      </c>
      <c r="F7" s="3" t="str">
        <f t="shared" si="0"/>
        <v>Yes</v>
      </c>
    </row>
    <row r="13" spans="1:9" x14ac:dyDescent="0.25">
      <c r="C13" s="6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 wise revenue performance </vt:lpstr>
      <vt:lpstr>City-Category Data</vt:lpstr>
      <vt:lpstr>Category Reference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2026-09-25T06:30:09Z</dcterms:created>
  <dcterms:modified xsi:type="dcterms:W3CDTF">2026-10-03T07:35:02Z</dcterms:modified>
</cp:coreProperties>
</file>